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C8" i="1" l="1"/>
  <c r="D8" i="1"/>
  <c r="E8" i="1"/>
  <c r="E3" i="1"/>
  <c r="E4" i="1"/>
  <c r="E5" i="1" l="1"/>
  <c r="E6" i="1"/>
  <c r="E7" i="1"/>
  <c r="B8" i="1"/>
</calcChain>
</file>

<file path=xl/sharedStrings.xml><?xml version="1.0" encoding="utf-8"?>
<sst xmlns="http://schemas.openxmlformats.org/spreadsheetml/2006/main" count="24" uniqueCount="20">
  <si>
    <t>Parts to buy</t>
  </si>
  <si>
    <t>ROV Battery</t>
  </si>
  <si>
    <t>Part</t>
  </si>
  <si>
    <t>Cost</t>
  </si>
  <si>
    <t>Shipping</t>
  </si>
  <si>
    <t>Quantity</t>
  </si>
  <si>
    <t>Subtotal</t>
  </si>
  <si>
    <t>Website</t>
  </si>
  <si>
    <t>http://www.batteryspace.com/Customize-NiMH-Battery-Pack-12V-13Ah-156-Wh-10-x-F-Long-in-two-long.aspx</t>
  </si>
  <si>
    <t>Purchased?</t>
  </si>
  <si>
    <t>Monitor for Control bbox</t>
  </si>
  <si>
    <t>http://www.amazon.ca/GeChic-On-Lap-1302-Portable-Powered/dp/B008RSKL24</t>
  </si>
  <si>
    <t>N</t>
  </si>
  <si>
    <t>Pressure Sensor</t>
  </si>
  <si>
    <t>Total before taxes</t>
  </si>
  <si>
    <t>http://www.digikey.ca/product-detail/en/MLH150PGL04G/480-2582-ND/1248917</t>
  </si>
  <si>
    <t>IP Video Server</t>
  </si>
  <si>
    <t>http://www.amazon.com/IP-Video-9100A-Network-Server/dp/B000HBVTCA</t>
  </si>
  <si>
    <t>GoPro 30 Pin connector</t>
  </si>
  <si>
    <t>http://cam-do.com/GoProConnectors.html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</si>
</sst>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2" xfId="0" applyFill="1" applyBorder="1"/>
    <xf numFmtId="0" fontId="0" fillId="0" borderId="0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5" xfId="0" applyFill="1" applyBorder="1"/>
    <xf numFmtId="0" fontId="0" fillId="0" borderId="6" xfId="0" applyFill="1" applyBorder="1"/>
    <xf numFmtId="0" fontId="0" fillId="0" borderId="0" xfId="0" applyBorder="1"/>
    <xf numFmtId="164" fontId="0" fillId="0" borderId="0" xfId="0" applyNumberFormat="1" applyBorder="1"/>
    <xf numFmtId="164" fontId="0" fillId="3" borderId="0" xfId="0" applyNumberFormat="1" applyFill="1" applyBorder="1"/>
    <xf numFmtId="0" fontId="0" fillId="0" borderId="0" xfId="0" applyBorder="1" applyAlignment="1">
      <alignment horizontal="center"/>
    </xf>
    <xf numFmtId="164" fontId="0" fillId="4" borderId="1" xfId="0" applyNumberFormat="1" applyFill="1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5" borderId="3" xfId="0" applyFill="1" applyBorder="1"/>
    <xf numFmtId="164" fontId="0" fillId="5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0</xdr:row>
          <xdr:rowOff>123825</xdr:rowOff>
        </xdr:from>
        <xdr:to>
          <xdr:col>9</xdr:col>
          <xdr:colOff>76200</xdr:colOff>
          <xdr:row>1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a Line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6" sqref="F16"/>
    </sheetView>
  </sheetViews>
  <sheetFormatPr defaultRowHeight="15" x14ac:dyDescent="0.25"/>
  <cols>
    <col min="1" max="1" width="23.42578125" bestFit="1" customWidth="1"/>
    <col min="2" max="2" width="8.7109375" bestFit="1" customWidth="1"/>
    <col min="3" max="3" width="7.5703125" bestFit="1" customWidth="1"/>
    <col min="4" max="4" width="8.85546875" bestFit="1" customWidth="1"/>
    <col min="5" max="5" width="8.5703125" bestFit="1" customWidth="1"/>
    <col min="6" max="6" width="11.140625" bestFit="1" customWidth="1"/>
  </cols>
  <sheetData>
    <row r="1" spans="1:7" ht="15.75" thickBot="1" x14ac:dyDescent="0.3">
      <c r="A1" s="13" t="s">
        <v>0</v>
      </c>
      <c r="B1" s="14"/>
      <c r="C1" s="14"/>
      <c r="D1" s="14"/>
      <c r="E1" s="14"/>
      <c r="F1" s="14"/>
      <c r="G1" s="14"/>
    </row>
    <row r="2" spans="1:7" ht="15.75" thickBot="1" x14ac:dyDescent="0.3">
      <c r="A2" s="3" t="s">
        <v>2</v>
      </c>
      <c r="B2" s="4" t="s">
        <v>5</v>
      </c>
      <c r="C2" s="4" t="s">
        <v>3</v>
      </c>
      <c r="D2" s="5" t="s">
        <v>4</v>
      </c>
      <c r="E2" s="6" t="s">
        <v>6</v>
      </c>
      <c r="F2" s="4" t="s">
        <v>9</v>
      </c>
      <c r="G2" s="7" t="s">
        <v>7</v>
      </c>
    </row>
    <row r="3" spans="1:7" x14ac:dyDescent="0.25">
      <c r="A3" s="8" t="s">
        <v>18</v>
      </c>
      <c r="B3" s="8">
        <v>2</v>
      </c>
      <c r="C3" s="9">
        <v>7</v>
      </c>
      <c r="D3" s="9">
        <v>0</v>
      </c>
      <c r="E3" s="10">
        <f t="shared" ref="E3:E6" si="0">IF(F3="N",(C3*B3)+D3,0)</f>
        <v>14</v>
      </c>
      <c r="F3" s="11" t="s">
        <v>12</v>
      </c>
      <c r="G3" s="2" t="s">
        <v>19</v>
      </c>
    </row>
    <row r="4" spans="1:7" x14ac:dyDescent="0.25">
      <c r="A4" s="8" t="s">
        <v>16</v>
      </c>
      <c r="B4" s="8">
        <v>1</v>
      </c>
      <c r="C4" s="9">
        <v>80.239999999999995</v>
      </c>
      <c r="D4" s="9">
        <v>6.75</v>
      </c>
      <c r="E4" s="10">
        <f t="shared" si="0"/>
        <v>86.99</v>
      </c>
      <c r="F4" s="11" t="s">
        <v>12</v>
      </c>
      <c r="G4" s="2" t="s">
        <v>17</v>
      </c>
    </row>
    <row r="5" spans="1:7" x14ac:dyDescent="0.25">
      <c r="A5" s="8" t="s">
        <v>13</v>
      </c>
      <c r="B5" s="8">
        <v>1</v>
      </c>
      <c r="C5" s="9">
        <v>175.41</v>
      </c>
      <c r="D5" s="9">
        <v>8</v>
      </c>
      <c r="E5" s="10">
        <f t="shared" si="0"/>
        <v>183.41</v>
      </c>
      <c r="F5" s="11" t="s">
        <v>12</v>
      </c>
      <c r="G5" s="2" t="s">
        <v>15</v>
      </c>
    </row>
    <row r="6" spans="1:7" x14ac:dyDescent="0.25">
      <c r="A6" s="8" t="s">
        <v>10</v>
      </c>
      <c r="B6" s="8">
        <v>1</v>
      </c>
      <c r="C6" s="9">
        <v>197.98</v>
      </c>
      <c r="D6" s="9">
        <v>0</v>
      </c>
      <c r="E6" s="10">
        <f t="shared" si="0"/>
        <v>197.98</v>
      </c>
      <c r="F6" s="11" t="s">
        <v>12</v>
      </c>
      <c r="G6" s="2" t="s">
        <v>11</v>
      </c>
    </row>
    <row r="7" spans="1:7" ht="15.75" thickBot="1" x14ac:dyDescent="0.3">
      <c r="A7" s="8" t="s">
        <v>1</v>
      </c>
      <c r="B7" s="8">
        <v>1</v>
      </c>
      <c r="C7" s="9">
        <v>160</v>
      </c>
      <c r="D7" s="9">
        <v>119.6</v>
      </c>
      <c r="E7" s="10">
        <f>IF(F7="N",(C7*B7)+D7,0)</f>
        <v>279.60000000000002</v>
      </c>
      <c r="F7" s="11" t="s">
        <v>12</v>
      </c>
      <c r="G7" s="8" t="s">
        <v>8</v>
      </c>
    </row>
    <row r="8" spans="1:7" ht="15.75" thickBot="1" x14ac:dyDescent="0.3">
      <c r="A8" s="1" t="s">
        <v>14</v>
      </c>
      <c r="B8" s="15">
        <f>SUM(B7:B7)</f>
        <v>1</v>
      </c>
      <c r="C8" s="16">
        <f>SUM(C3:C7)</f>
        <v>620.63</v>
      </c>
      <c r="D8" s="16">
        <f>SUM(D3:D7)</f>
        <v>134.35</v>
      </c>
      <c r="E8" s="12">
        <f>SUM(E3:E7)</f>
        <v>761.98</v>
      </c>
      <c r="F8" s="8"/>
      <c r="G8" s="8"/>
    </row>
  </sheetData>
  <mergeCells count="1">
    <mergeCell ref="A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Line1">
                <anchor moveWithCells="1" sizeWithCells="1">
                  <from>
                    <xdr:col>7</xdr:col>
                    <xdr:colOff>219075</xdr:colOff>
                    <xdr:row>0</xdr:row>
                    <xdr:rowOff>123825</xdr:rowOff>
                  </from>
                  <to>
                    <xdr:col>9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Cook</dc:creator>
  <cp:lastModifiedBy>Brian Cook</cp:lastModifiedBy>
  <dcterms:created xsi:type="dcterms:W3CDTF">2013-04-14T23:00:10Z</dcterms:created>
  <dcterms:modified xsi:type="dcterms:W3CDTF">2013-04-15T18:23:52Z</dcterms:modified>
</cp:coreProperties>
</file>